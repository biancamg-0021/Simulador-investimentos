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8747E63-7BF1-498D-9A95-70264D394B5C}" xr6:coauthVersionLast="36" xr6:coauthVersionMax="36" xr10:uidLastSave="{00000000-0000-0000-0000-000000000000}"/>
  <bookViews>
    <workbookView xWindow="0" yWindow="0" windowWidth="3660" windowHeight="5340" tabRatio="0" xr2:uid="{39BC4B3E-6358-4729-8E67-82322F59B11E}"/>
  </bookViews>
  <sheets>
    <sheet name="Planilha1" sheetId="1" r:id="rId1"/>
    <sheet name="Planilha2" sheetId="2" r:id="rId2"/>
  </sheets>
  <definedNames>
    <definedName name="aporte">Planilha1!$D$15</definedName>
    <definedName name="patrimonio">Planilha1!$D$18</definedName>
    <definedName name="qtd_anos">Planilha1!$D$16</definedName>
    <definedName name="rendimento_carteira">Planilha1!$D$11</definedName>
    <definedName name="salario">Planilha1!$D$10</definedName>
    <definedName name="sugestao_investimento">Planilha1!$D$12</definedName>
    <definedName name="taxa_mensal">Planilha1!$D$17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A16" i="2"/>
  <c r="A17" i="2"/>
  <c r="A18" i="2"/>
  <c r="A19" i="2"/>
  <c r="A20" i="2"/>
  <c r="A15" i="2"/>
  <c r="A10" i="2"/>
  <c r="A11" i="2"/>
  <c r="A12" i="2"/>
  <c r="A13" i="2"/>
  <c r="A14" i="2"/>
  <c r="A9" i="2"/>
  <c r="A4" i="2"/>
  <c r="A5" i="2"/>
  <c r="A6" i="2"/>
  <c r="A7" i="2"/>
  <c r="A8" i="2"/>
  <c r="A3" i="2"/>
  <c r="C33" i="1"/>
  <c r="D18" i="1"/>
  <c r="D19" i="1" s="1"/>
  <c r="D37" i="1" l="1"/>
  <c r="D39" i="1"/>
  <c r="D38" i="1"/>
  <c r="D36" i="1"/>
  <c r="D40" i="1"/>
  <c r="D41" i="1"/>
  <c r="D12" i="1"/>
  <c r="C23" i="1"/>
  <c r="D23" i="1" s="1"/>
  <c r="C24" i="1"/>
  <c r="D24" i="1" s="1"/>
  <c r="C25" i="1"/>
  <c r="D25" i="1" s="1"/>
  <c r="C26" i="1"/>
  <c r="D26" i="1" s="1"/>
  <c r="C22" i="1"/>
  <c r="D22" i="1" s="1"/>
  <c r="D42" i="1" l="1"/>
</calcChain>
</file>

<file path=xl/sharedStrings.xml><?xml version="1.0" encoding="utf-8"?>
<sst xmlns="http://schemas.openxmlformats.org/spreadsheetml/2006/main" count="69" uniqueCount="33">
  <si>
    <t>Quanto investir por mês?</t>
  </si>
  <si>
    <t>Por quantos anos?</t>
  </si>
  <si>
    <t>INVESTIMENTO MENSAL</t>
  </si>
  <si>
    <t>Patrimônio acumulado?</t>
  </si>
  <si>
    <t>Dividendos mensais?</t>
  </si>
  <si>
    <t>Taxa de Rendimento mensal?</t>
  </si>
  <si>
    <t>Quanto em 2 anos?</t>
  </si>
  <si>
    <t>Quanto em 5 anos?</t>
  </si>
  <si>
    <t>Quanto em 10 anos</t>
  </si>
  <si>
    <t>Quanto em 20 anos?</t>
  </si>
  <si>
    <t>Quanto em 30 anos?</t>
  </si>
  <si>
    <t>Cenários</t>
  </si>
  <si>
    <t>Dividendos</t>
  </si>
  <si>
    <t>Salário</t>
  </si>
  <si>
    <t>Redimento Carteira</t>
  </si>
  <si>
    <t>Sugestão de Investimento</t>
  </si>
  <si>
    <t>CONFIGURAÇÕES</t>
  </si>
  <si>
    <t>Agressivo</t>
  </si>
  <si>
    <t>VALOR A SER INVESTIDO POR MÊS</t>
  </si>
  <si>
    <t>PERFIL</t>
  </si>
  <si>
    <t>TIPO DE FII</t>
  </si>
  <si>
    <t>Valores</t>
  </si>
  <si>
    <t>Percentual Sugerido</t>
  </si>
  <si>
    <t>PAPEL</t>
  </si>
  <si>
    <t>TIJOLO</t>
  </si>
  <si>
    <t>HÍBRIDOS</t>
  </si>
  <si>
    <t>FOF's</t>
  </si>
  <si>
    <t>DESENVOLVIMENTO</t>
  </si>
  <si>
    <t>HOTELARIAS</t>
  </si>
  <si>
    <t>%</t>
  </si>
  <si>
    <t>Conservador</t>
  </si>
  <si>
    <t>Chave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</si>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</sst>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Source Sans Pro"/>
      <family val="2"/>
    </font>
    <font>
      <b/>
      <sz val="18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2" tint="-0.499984740745262"/>
      </right>
      <top style="thin">
        <color theme="2" tint="-0.499984740745262"/>
      </top>
      <bottom style="medium">
        <color indexed="64"/>
      </bottom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 style="medium">
        <color indexed="64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indexed="64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 style="medium">
        <color theme="2" tint="-0.24994659260841701"/>
      </right>
      <top/>
      <bottom/>
      <diagonal/>
    </border>
    <border>
      <left style="medium">
        <color theme="2" tint="-0.24994659260841701"/>
      </left>
      <right style="medium">
        <color indexed="64"/>
      </right>
      <top/>
      <bottom style="medium">
        <color theme="2" tint="-0.24994659260841701"/>
      </bottom>
      <diagonal/>
    </border>
    <border>
      <left style="medium">
        <color theme="2" tint="-0.24994659260841701"/>
      </left>
      <right style="medium">
        <color indexed="64"/>
      </right>
      <top style="medium">
        <color theme="2" tint="-0.24994659260841701"/>
      </top>
      <bottom style="medium">
        <color theme="2" tint="-0.2499465926084170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theme="2" tint="-0.24994659260841701"/>
      </right>
      <top/>
      <bottom style="medium">
        <color indexed="64"/>
      </bottom>
      <diagonal/>
    </border>
    <border>
      <left style="medium">
        <color theme="2" tint="-0.24994659260841701"/>
      </left>
      <right style="medium">
        <color indexed="64"/>
      </right>
      <top style="medium">
        <color theme="2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7" borderId="0" applyNumberFormat="0" applyBorder="0" applyAlignment="0" applyProtection="0"/>
  </cellStyleXfs>
  <cellXfs count="56">
    <xf numFmtId="0" fontId="0" fillId="0" borderId="0" xfId="0"/>
    <xf numFmtId="0" fontId="3" fillId="2" borderId="2" xfId="0" applyFont="1" applyFill="1" applyBorder="1" applyAlignment="1">
      <alignment vertical="center"/>
    </xf>
    <xf numFmtId="0" fontId="2" fillId="0" borderId="0" xfId="0" applyFont="1"/>
    <xf numFmtId="0" fontId="4" fillId="5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8" fillId="4" borderId="6" xfId="0" applyFont="1" applyFill="1" applyBorder="1" applyAlignment="1">
      <alignment horizontal="left" indent="2"/>
    </xf>
    <xf numFmtId="0" fontId="8" fillId="4" borderId="19" xfId="0" applyFont="1" applyFill="1" applyBorder="1" applyAlignment="1">
      <alignment horizontal="left" indent="2"/>
    </xf>
    <xf numFmtId="0" fontId="8" fillId="4" borderId="22" xfId="0" applyFont="1" applyFill="1" applyBorder="1" applyAlignment="1">
      <alignment horizontal="left" indent="2"/>
    </xf>
    <xf numFmtId="0" fontId="8" fillId="4" borderId="23" xfId="0" applyFont="1" applyFill="1" applyBorder="1" applyAlignment="1">
      <alignment horizontal="left" indent="2"/>
    </xf>
    <xf numFmtId="0" fontId="8" fillId="4" borderId="12" xfId="0" applyFont="1" applyFill="1" applyBorder="1" applyAlignment="1">
      <alignment horizontal="left" indent="2"/>
    </xf>
    <xf numFmtId="8" fontId="9" fillId="4" borderId="0" xfId="0" applyNumberFormat="1" applyFont="1" applyFill="1" applyBorder="1" applyAlignment="1">
      <alignment horizontal="center"/>
    </xf>
    <xf numFmtId="8" fontId="9" fillId="4" borderId="14" xfId="0" applyNumberFormat="1" applyFont="1" applyFill="1" applyBorder="1" applyAlignment="1">
      <alignment horizontal="center"/>
    </xf>
    <xf numFmtId="8" fontId="9" fillId="4" borderId="13" xfId="0" applyNumberFormat="1" applyFont="1" applyFill="1" applyBorder="1" applyAlignment="1">
      <alignment horizontal="center"/>
    </xf>
    <xf numFmtId="8" fontId="9" fillId="4" borderId="15" xfId="0" applyNumberFormat="1" applyFont="1" applyFill="1" applyBorder="1" applyAlignment="1">
      <alignment horizontal="center"/>
    </xf>
    <xf numFmtId="0" fontId="8" fillId="4" borderId="6" xfId="0" applyFont="1" applyFill="1" applyBorder="1" applyAlignment="1">
      <alignment horizontal="left" indent="2"/>
    </xf>
    <xf numFmtId="8" fontId="9" fillId="4" borderId="17" xfId="0" applyNumberFormat="1" applyFont="1" applyFill="1" applyBorder="1" applyAlignment="1">
      <alignment horizontal="center"/>
    </xf>
    <xf numFmtId="8" fontId="9" fillId="4" borderId="9" xfId="0" applyNumberFormat="1" applyFont="1" applyFill="1" applyBorder="1" applyAlignment="1">
      <alignment horizontal="center"/>
    </xf>
    <xf numFmtId="0" fontId="8" fillId="4" borderId="16" xfId="0" applyFont="1" applyFill="1" applyBorder="1" applyAlignment="1">
      <alignment horizontal="left" indent="2"/>
    </xf>
    <xf numFmtId="0" fontId="8" fillId="4" borderId="8" xfId="0" applyFont="1" applyFill="1" applyBorder="1" applyAlignment="1">
      <alignment horizontal="left" indent="2"/>
    </xf>
    <xf numFmtId="8" fontId="9" fillId="4" borderId="11" xfId="0" applyNumberFormat="1" applyFont="1" applyFill="1" applyBorder="1" applyAlignment="1">
      <alignment horizontal="center"/>
    </xf>
    <xf numFmtId="8" fontId="9" fillId="4" borderId="10" xfId="0" applyNumberFormat="1" applyFont="1" applyFill="1" applyBorder="1" applyAlignment="1">
      <alignment horizontal="center"/>
    </xf>
    <xf numFmtId="164" fontId="9" fillId="0" borderId="20" xfId="0" applyNumberFormat="1" applyFont="1" applyBorder="1" applyAlignment="1">
      <alignment horizontal="center"/>
    </xf>
    <xf numFmtId="10" fontId="9" fillId="0" borderId="21" xfId="0" applyNumberFormat="1" applyFont="1" applyBorder="1" applyAlignment="1">
      <alignment horizontal="center"/>
    </xf>
    <xf numFmtId="164" fontId="9" fillId="0" borderId="24" xfId="0" applyNumberFormat="1" applyFont="1" applyBorder="1" applyAlignment="1">
      <alignment horizontal="center"/>
    </xf>
    <xf numFmtId="0" fontId="8" fillId="0" borderId="6" xfId="0" applyFont="1" applyBorder="1" applyAlignment="1">
      <alignment horizontal="left" indent="2"/>
    </xf>
    <xf numFmtId="0" fontId="8" fillId="0" borderId="18" xfId="0" applyFont="1" applyBorder="1" applyAlignment="1">
      <alignment horizontal="left" indent="2"/>
    </xf>
    <xf numFmtId="164" fontId="10" fillId="0" borderId="3" xfId="1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10" fontId="10" fillId="0" borderId="4" xfId="0" applyNumberFormat="1" applyFont="1" applyBorder="1" applyAlignment="1">
      <alignment horizontal="center"/>
    </xf>
    <xf numFmtId="0" fontId="11" fillId="3" borderId="6" xfId="0" applyFont="1" applyFill="1" applyBorder="1" applyAlignment="1">
      <alignment horizontal="left" indent="2"/>
    </xf>
    <xf numFmtId="0" fontId="11" fillId="3" borderId="18" xfId="0" applyFont="1" applyFill="1" applyBorder="1" applyAlignment="1">
      <alignment horizontal="left" indent="2"/>
    </xf>
    <xf numFmtId="8" fontId="10" fillId="3" borderId="4" xfId="0" applyNumberFormat="1" applyFont="1" applyFill="1" applyBorder="1" applyAlignment="1">
      <alignment horizontal="center"/>
    </xf>
    <xf numFmtId="0" fontId="11" fillId="3" borderId="22" xfId="0" applyFont="1" applyFill="1" applyBorder="1" applyAlignment="1">
      <alignment horizontal="left" indent="2"/>
    </xf>
    <xf numFmtId="0" fontId="11" fillId="3" borderId="25" xfId="0" applyFont="1" applyFill="1" applyBorder="1" applyAlignment="1">
      <alignment horizontal="left" indent="2"/>
    </xf>
    <xf numFmtId="8" fontId="10" fillId="3" borderId="5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7" borderId="0" xfId="2"/>
    <xf numFmtId="0" fontId="5" fillId="7" borderId="0" xfId="2" applyAlignment="1">
      <alignment horizontal="center"/>
    </xf>
    <xf numFmtId="9" fontId="0" fillId="0" borderId="0" xfId="0" applyNumberFormat="1" applyAlignment="1">
      <alignment horizontal="center"/>
    </xf>
    <xf numFmtId="0" fontId="6" fillId="8" borderId="0" xfId="0" applyFont="1" applyFill="1" applyAlignment="1">
      <alignment horizontal="center"/>
    </xf>
    <xf numFmtId="164" fontId="0" fillId="0" borderId="0" xfId="0" applyNumberFormat="1" applyAlignment="1">
      <alignment horizontal="center" vertical="center"/>
    </xf>
    <xf numFmtId="0" fontId="6" fillId="8" borderId="0" xfId="0" applyFont="1" applyFill="1"/>
    <xf numFmtId="164" fontId="6" fillId="8" borderId="0" xfId="0" applyNumberFormat="1" applyFont="1" applyFill="1" applyAlignment="1">
      <alignment horizontal="center" vertical="center"/>
    </xf>
    <xf numFmtId="0" fontId="0" fillId="0" borderId="26" xfId="0" applyBorder="1"/>
    <xf numFmtId="0" fontId="0" fillId="0" borderId="26" xfId="0" applyBorder="1" applyAlignment="1">
      <alignment horizontal="center"/>
    </xf>
    <xf numFmtId="9" fontId="0" fillId="0" borderId="26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6" fillId="9" borderId="0" xfId="0" applyFont="1" applyFill="1"/>
    <xf numFmtId="164" fontId="6" fillId="9" borderId="0" xfId="0" applyNumberFormat="1" applyFont="1" applyFill="1" applyAlignment="1">
      <alignment horizontal="center"/>
    </xf>
    <xf numFmtId="0" fontId="0" fillId="9" borderId="0" xfId="0" applyFill="1"/>
    <xf numFmtId="9" fontId="0" fillId="0" borderId="26" xfId="0" applyNumberFormat="1" applyFill="1" applyBorder="1" applyAlignment="1">
      <alignment horizontal="center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4-4358-89D5-82887E140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</xdr:row>
      <xdr:rowOff>0</xdr:rowOff>
    </xdr:from>
    <xdr:to>
      <xdr:col>16384</xdr:col>
      <xdr:colOff>609269</xdr:colOff>
      <xdr:row>7</xdr:row>
      <xdr:rowOff>171286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DB548BD-CF32-4FBA-B43F-4FD9B1E63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90500"/>
          <a:ext cx="2647619" cy="1314286"/>
        </a:xfrm>
        <a:prstGeom prst="rect">
          <a:avLst/>
        </a:prstGeom>
      </xdr:spPr>
    </xdr:pic>
    <xdr:clientData/>
  </xdr:twoCellAnchor>
  <xdr:twoCellAnchor editAs="absolute">
    <xdr:from>
      <xdr:col>0</xdr:col>
      <xdr:colOff>590549</xdr:colOff>
      <xdr:row>0</xdr:row>
      <xdr:rowOff>9524</xdr:rowOff>
    </xdr:from>
    <xdr:to>
      <xdr:col>16384</xdr:col>
      <xdr:colOff>76200</xdr:colOff>
      <xdr:row>7</xdr:row>
      <xdr:rowOff>38100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0E60878-31D5-4EBC-8F1B-47FD046D6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49" y="9524"/>
          <a:ext cx="6934201" cy="1362076"/>
        </a:xfrm>
        <a:prstGeom prst="rect">
          <a:avLst/>
        </a:prstGeom>
      </xdr:spPr>
    </xdr:pic>
    <xdr:clientData/>
  </xdr:twoCellAnchor>
  <xdr:twoCellAnchor>
    <xdr:from>
      <xdr:col>0</xdr:col>
      <xdr:colOff>590551</xdr:colOff>
      <xdr:row>42</xdr:row>
      <xdr:rowOff>152401</xdr:rowOff>
    </xdr:from>
    <xdr:to>
      <xdr:col>4</xdr:col>
      <xdr:colOff>9525</xdr:colOff>
      <xdr:row>61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0A7853-4E31-4329-954E-5BF31B321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3711D-B9F1-40BD-B859-B24D64139BFF}">
  <dimension ref="A8:H42"/>
  <sheetViews>
    <sheetView showGridLines="0" tabSelected="1" topLeftCell="A2" workbookViewId="0">
      <selection activeCell="F60" sqref="F60"/>
    </sheetView>
  </sheetViews>
  <sheetFormatPr defaultColWidth="0" defaultRowHeight="15" x14ac:dyDescent="0.25"/>
  <cols>
    <col min="1" max="1" width="9.140625" customWidth="1"/>
    <col min="2" max="2" width="50.28515625" customWidth="1"/>
    <col min="3" max="3" width="19" bestFit="1" customWidth="1"/>
    <col min="4" max="4" width="16.140625" bestFit="1" customWidth="1"/>
    <col min="5" max="5" width="9.5703125" customWidth="1"/>
    <col min="6" max="6" width="7.5703125" customWidth="1"/>
    <col min="7" max="7" width="8.28515625" hidden="1" customWidth="1"/>
    <col min="8" max="8" width="14.7109375" hidden="1" customWidth="1"/>
    <col min="9" max="11" width="9.140625" hidden="1" customWidth="1"/>
    <col min="12" max="16384" width="9.140625" hidden="1"/>
  </cols>
  <sheetData>
    <row r="8" spans="2:7" ht="15.75" thickBot="1" x14ac:dyDescent="0.3"/>
    <row r="9" spans="2:7" ht="26.25" x14ac:dyDescent="0.25">
      <c r="B9" s="35" t="s">
        <v>16</v>
      </c>
      <c r="C9" s="36"/>
      <c r="D9" s="37"/>
    </row>
    <row r="10" spans="2:7" ht="18" thickBot="1" x14ac:dyDescent="0.35">
      <c r="B10" s="5" t="s">
        <v>13</v>
      </c>
      <c r="C10" s="6"/>
      <c r="D10" s="21">
        <v>6000</v>
      </c>
    </row>
    <row r="11" spans="2:7" ht="18" thickBot="1" x14ac:dyDescent="0.35">
      <c r="B11" s="5" t="s">
        <v>14</v>
      </c>
      <c r="C11" s="6"/>
      <c r="D11" s="22">
        <v>6.0000000000000001E-3</v>
      </c>
    </row>
    <row r="12" spans="2:7" ht="18" thickBot="1" x14ac:dyDescent="0.35">
      <c r="B12" s="7" t="s">
        <v>15</v>
      </c>
      <c r="C12" s="8"/>
      <c r="D12" s="23">
        <f>D10*0.3</f>
        <v>1800</v>
      </c>
    </row>
    <row r="13" spans="2:7" ht="15.75" thickBot="1" x14ac:dyDescent="0.3"/>
    <row r="14" spans="2:7" ht="30.75" customHeight="1" x14ac:dyDescent="0.25">
      <c r="B14" s="38" t="s">
        <v>2</v>
      </c>
      <c r="C14" s="39"/>
      <c r="D14" s="40"/>
      <c r="G14" s="3"/>
    </row>
    <row r="15" spans="2:7" ht="17.25" x14ac:dyDescent="0.3">
      <c r="B15" s="24" t="s">
        <v>0</v>
      </c>
      <c r="C15" s="25"/>
      <c r="D15" s="26">
        <v>200</v>
      </c>
    </row>
    <row r="16" spans="2:7" ht="17.25" x14ac:dyDescent="0.3">
      <c r="B16" s="24" t="s">
        <v>1</v>
      </c>
      <c r="C16" s="25"/>
      <c r="D16" s="27">
        <v>10</v>
      </c>
    </row>
    <row r="17" spans="1:4" ht="17.25" x14ac:dyDescent="0.3">
      <c r="B17" s="24" t="s">
        <v>5</v>
      </c>
      <c r="C17" s="25"/>
      <c r="D17" s="28">
        <v>1.0789999999999999E-2</v>
      </c>
    </row>
    <row r="18" spans="1:4" ht="17.25" x14ac:dyDescent="0.3">
      <c r="B18" s="29" t="s">
        <v>3</v>
      </c>
      <c r="C18" s="30"/>
      <c r="D18" s="31">
        <f>FV(taxa_mensal,qtd_anos*12,D15*-1)</f>
        <v>48656.842506034438</v>
      </c>
    </row>
    <row r="19" spans="1:4" ht="18" thickBot="1" x14ac:dyDescent="0.35">
      <c r="B19" s="32" t="s">
        <v>4</v>
      </c>
      <c r="C19" s="33"/>
      <c r="D19" s="34">
        <f>patrimonio*rendimento_carteira</f>
        <v>291.94105503620665</v>
      </c>
    </row>
    <row r="20" spans="1:4" ht="15.75" thickBot="1" x14ac:dyDescent="0.3"/>
    <row r="21" spans="1:4" ht="26.25" x14ac:dyDescent="0.25">
      <c r="B21" s="38" t="s">
        <v>11</v>
      </c>
      <c r="C21" s="39"/>
      <c r="D21" s="1" t="s">
        <v>12</v>
      </c>
    </row>
    <row r="22" spans="1:4" ht="17.25" x14ac:dyDescent="0.3">
      <c r="A22" s="2">
        <v>2</v>
      </c>
      <c r="B22" s="9" t="s">
        <v>6</v>
      </c>
      <c r="C22" s="10">
        <f>FV($D$17,A22*12,$D$15*-1)</f>
        <v>5445.5254595290435</v>
      </c>
      <c r="D22" s="11">
        <f>C22*rendimento_carteira</f>
        <v>32.673152757174265</v>
      </c>
    </row>
    <row r="23" spans="1:4" ht="17.25" x14ac:dyDescent="0.3">
      <c r="A23" s="2">
        <v>5</v>
      </c>
      <c r="B23" s="9" t="s">
        <v>7</v>
      </c>
      <c r="C23" s="12">
        <f>FV($D$17,A23*12,$D$15*-1)</f>
        <v>16755.382799697527</v>
      </c>
      <c r="D23" s="13">
        <f>C23*rendimento_carteira</f>
        <v>100.53229679818516</v>
      </c>
    </row>
    <row r="24" spans="1:4" ht="17.25" x14ac:dyDescent="0.3">
      <c r="A24" s="2">
        <v>10</v>
      </c>
      <c r="B24" s="14" t="s">
        <v>8</v>
      </c>
      <c r="C24" s="15">
        <f>FV($D$17,A24*12,$D$15*-1)</f>
        <v>48656.842506034438</v>
      </c>
      <c r="D24" s="16">
        <f>C24*rendimento_carteira</f>
        <v>291.94105503620665</v>
      </c>
    </row>
    <row r="25" spans="1:4" ht="17.25" x14ac:dyDescent="0.3">
      <c r="A25" s="2">
        <v>20</v>
      </c>
      <c r="B25" s="17" t="s">
        <v>9</v>
      </c>
      <c r="C25" s="12">
        <f>FV($D$17,A25*12,$D$15*-1)</f>
        <v>225039.68001941612</v>
      </c>
      <c r="D25" s="16">
        <f>C25*rendimento_carteira</f>
        <v>1350.2380801164968</v>
      </c>
    </row>
    <row r="26" spans="1:4" ht="18" thickBot="1" x14ac:dyDescent="0.35">
      <c r="A26" s="2">
        <v>30</v>
      </c>
      <c r="B26" s="18" t="s">
        <v>10</v>
      </c>
      <c r="C26" s="19">
        <f>FV($D$17,A26*12,$D$15*-1)</f>
        <v>864433.93100094295</v>
      </c>
      <c r="D26" s="20">
        <f>C26*rendimento_carteira</f>
        <v>5186.6035860056581</v>
      </c>
    </row>
    <row r="32" spans="1:4" x14ac:dyDescent="0.25">
      <c r="B32" s="41" t="s">
        <v>19</v>
      </c>
      <c r="C32" s="42" t="s">
        <v>32</v>
      </c>
      <c r="D32" s="41"/>
    </row>
    <row r="33" spans="2:4" x14ac:dyDescent="0.25">
      <c r="B33" s="52" t="s">
        <v>18</v>
      </c>
      <c r="C33" s="53">
        <f>aporte</f>
        <v>200</v>
      </c>
      <c r="D33" s="54"/>
    </row>
    <row r="35" spans="2:4" x14ac:dyDescent="0.25">
      <c r="B35" s="44" t="s">
        <v>20</v>
      </c>
      <c r="C35" s="44" t="s">
        <v>22</v>
      </c>
      <c r="D35" s="44" t="s">
        <v>21</v>
      </c>
    </row>
    <row r="36" spans="2:4" x14ac:dyDescent="0.25">
      <c r="B36" s="4" t="s">
        <v>23</v>
      </c>
      <c r="C36" s="43">
        <f>VLOOKUP($C$32&amp;"-"&amp;B36,Planilha2!$A:$D,4,FALSE)</f>
        <v>0.32</v>
      </c>
      <c r="D36" s="45">
        <f>C36*$C$33</f>
        <v>64</v>
      </c>
    </row>
    <row r="37" spans="2:4" x14ac:dyDescent="0.25">
      <c r="B37" s="4" t="s">
        <v>24</v>
      </c>
      <c r="C37" s="43">
        <f>VLOOKUP($C$32&amp;"-"&amp;B37,Planilha2!$A:$D,4,FALSE)</f>
        <v>0.35</v>
      </c>
      <c r="D37" s="45">
        <f t="shared" ref="D37:D41" si="0">C37*$C$33</f>
        <v>70</v>
      </c>
    </row>
    <row r="38" spans="2:4" x14ac:dyDescent="0.25">
      <c r="B38" s="4" t="s">
        <v>25</v>
      </c>
      <c r="C38" s="43">
        <f>VLOOKUP($C$32&amp;"-"&amp;B38,Planilha2!$A:$D,4,FALSE)</f>
        <v>0.08</v>
      </c>
      <c r="D38" s="45">
        <f t="shared" si="0"/>
        <v>16</v>
      </c>
    </row>
    <row r="39" spans="2:4" x14ac:dyDescent="0.25">
      <c r="B39" s="4" t="s">
        <v>26</v>
      </c>
      <c r="C39" s="43">
        <f>VLOOKUP($C$32&amp;"-"&amp;B39,Planilha2!$A:$D,4,FALSE)</f>
        <v>0.05</v>
      </c>
      <c r="D39" s="45">
        <f t="shared" si="0"/>
        <v>10</v>
      </c>
    </row>
    <row r="40" spans="2:4" x14ac:dyDescent="0.25">
      <c r="B40" s="4" t="s">
        <v>27</v>
      </c>
      <c r="C40" s="43">
        <f>VLOOKUP($C$32&amp;"-"&amp;B40,Planilha2!$A:$D,4,FALSE)</f>
        <v>0.1</v>
      </c>
      <c r="D40" s="45">
        <f t="shared" si="0"/>
        <v>20</v>
      </c>
    </row>
    <row r="41" spans="2:4" x14ac:dyDescent="0.25">
      <c r="B41" s="4" t="s">
        <v>28</v>
      </c>
      <c r="C41" s="43">
        <f>VLOOKUP($C$32&amp;"-"&amp;B41,Planilha2!$A:$D,4,FALSE)</f>
        <v>0.1</v>
      </c>
      <c r="D41" s="45">
        <f t="shared" si="0"/>
        <v>20</v>
      </c>
    </row>
    <row r="42" spans="2:4" x14ac:dyDescent="0.25">
      <c r="B42" s="46"/>
      <c r="C42" s="46"/>
      <c r="D42" s="47">
        <f>SUM(D36:D41)</f>
        <v>200</v>
      </c>
    </row>
  </sheetData>
  <mergeCells count="11">
    <mergeCell ref="B21:C21"/>
    <mergeCell ref="B15:C15"/>
    <mergeCell ref="B16:C16"/>
    <mergeCell ref="B17:C17"/>
    <mergeCell ref="B18:C18"/>
    <mergeCell ref="B19:C19"/>
    <mergeCell ref="B14:D14"/>
    <mergeCell ref="B9:D9"/>
    <mergeCell ref="B10:C10"/>
    <mergeCell ref="B11:C11"/>
    <mergeCell ref="B12:C12"/>
  </mergeCells>
  <dataValidations count="1">
    <dataValidation type="list" allowBlank="1" showInputMessage="1" showErrorMessage="1" sqref="C32" xr:uid="{62E5E7DA-5DD3-4EC0-9420-9DC2C29FCAD8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D357-3EE2-4F86-8610-95C46A17348B}">
  <dimension ref="A2:D20"/>
  <sheetViews>
    <sheetView workbookViewId="0">
      <selection activeCell="D9" sqref="D9:D14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19" bestFit="1" customWidth="1"/>
  </cols>
  <sheetData>
    <row r="2" spans="1:4" x14ac:dyDescent="0.25">
      <c r="A2" t="s">
        <v>31</v>
      </c>
      <c r="B2" t="s">
        <v>19</v>
      </c>
      <c r="C2" s="4" t="s">
        <v>20</v>
      </c>
      <c r="D2" s="4" t="s">
        <v>29</v>
      </c>
    </row>
    <row r="3" spans="1:4" x14ac:dyDescent="0.25">
      <c r="A3" t="str">
        <f>B3&amp;"-"&amp;C3</f>
        <v>Conservador-PAPEL</v>
      </c>
      <c r="B3" t="s">
        <v>30</v>
      </c>
      <c r="C3" s="4" t="s">
        <v>23</v>
      </c>
      <c r="D3" s="43">
        <v>0.3</v>
      </c>
    </row>
    <row r="4" spans="1:4" x14ac:dyDescent="0.25">
      <c r="A4" t="str">
        <f t="shared" ref="A4:A21" si="0">B4&amp;"-"&amp;C4</f>
        <v>Conservador-TIJOLO</v>
      </c>
      <c r="B4" t="s">
        <v>30</v>
      </c>
      <c r="C4" s="4" t="s">
        <v>24</v>
      </c>
      <c r="D4" s="43">
        <v>0.5</v>
      </c>
    </row>
    <row r="5" spans="1:4" x14ac:dyDescent="0.25">
      <c r="A5" t="str">
        <f t="shared" si="0"/>
        <v>Conservador-HÍBRIDOS</v>
      </c>
      <c r="B5" t="s">
        <v>30</v>
      </c>
      <c r="C5" s="4" t="s">
        <v>25</v>
      </c>
      <c r="D5" s="43">
        <v>0.1</v>
      </c>
    </row>
    <row r="6" spans="1:4" x14ac:dyDescent="0.25">
      <c r="A6" t="str">
        <f t="shared" si="0"/>
        <v>Conservador-FOF's</v>
      </c>
      <c r="B6" t="s">
        <v>30</v>
      </c>
      <c r="C6" s="4" t="s">
        <v>26</v>
      </c>
      <c r="D6" s="43">
        <v>0.1</v>
      </c>
    </row>
    <row r="7" spans="1:4" x14ac:dyDescent="0.25">
      <c r="A7" t="str">
        <f t="shared" si="0"/>
        <v>Conservador-DESENVOLVIMENTO</v>
      </c>
      <c r="B7" t="s">
        <v>30</v>
      </c>
      <c r="C7" s="4" t="s">
        <v>27</v>
      </c>
      <c r="D7" s="43">
        <v>0</v>
      </c>
    </row>
    <row r="8" spans="1:4" ht="15.75" thickBot="1" x14ac:dyDescent="0.3">
      <c r="A8" s="48" t="str">
        <f t="shared" si="0"/>
        <v>Conservador-HOTELARIAS</v>
      </c>
      <c r="B8" s="48" t="s">
        <v>30</v>
      </c>
      <c r="C8" s="49" t="s">
        <v>28</v>
      </c>
      <c r="D8" s="50">
        <v>0</v>
      </c>
    </row>
    <row r="9" spans="1:4" x14ac:dyDescent="0.25">
      <c r="A9" t="str">
        <f t="shared" si="0"/>
        <v>Moderado-PAPEL</v>
      </c>
      <c r="B9" t="s">
        <v>32</v>
      </c>
      <c r="C9" s="4" t="s">
        <v>23</v>
      </c>
      <c r="D9" s="51">
        <v>0.32</v>
      </c>
    </row>
    <row r="10" spans="1:4" x14ac:dyDescent="0.25">
      <c r="A10" t="str">
        <f t="shared" si="0"/>
        <v>Moderado-TIJOLO</v>
      </c>
      <c r="B10" t="s">
        <v>32</v>
      </c>
      <c r="C10" s="4" t="s">
        <v>24</v>
      </c>
      <c r="D10" s="51">
        <v>0.35</v>
      </c>
    </row>
    <row r="11" spans="1:4" x14ac:dyDescent="0.25">
      <c r="A11" t="str">
        <f t="shared" si="0"/>
        <v>Moderado-HÍBRIDOS</v>
      </c>
      <c r="B11" t="s">
        <v>32</v>
      </c>
      <c r="C11" s="4" t="s">
        <v>25</v>
      </c>
      <c r="D11" s="51">
        <v>0.08</v>
      </c>
    </row>
    <row r="12" spans="1:4" x14ac:dyDescent="0.25">
      <c r="A12" t="str">
        <f t="shared" si="0"/>
        <v>Moderado-FOF's</v>
      </c>
      <c r="B12" t="s">
        <v>32</v>
      </c>
      <c r="C12" s="4" t="s">
        <v>26</v>
      </c>
      <c r="D12" s="51">
        <v>0.05</v>
      </c>
    </row>
    <row r="13" spans="1:4" x14ac:dyDescent="0.25">
      <c r="A13" t="str">
        <f t="shared" si="0"/>
        <v>Moderado-DESENVOLVIMENTO</v>
      </c>
      <c r="B13" t="s">
        <v>32</v>
      </c>
      <c r="C13" s="4" t="s">
        <v>27</v>
      </c>
      <c r="D13" s="51">
        <v>0.1</v>
      </c>
    </row>
    <row r="14" spans="1:4" ht="15.75" thickBot="1" x14ac:dyDescent="0.3">
      <c r="A14" s="48" t="str">
        <f t="shared" si="0"/>
        <v>Moderado-HOTELARIAS</v>
      </c>
      <c r="B14" s="48" t="s">
        <v>32</v>
      </c>
      <c r="C14" s="49" t="s">
        <v>28</v>
      </c>
      <c r="D14" s="55">
        <v>0.1</v>
      </c>
    </row>
    <row r="15" spans="1:4" x14ac:dyDescent="0.25">
      <c r="A15" t="str">
        <f t="shared" si="0"/>
        <v>Agressivo-PAPEL</v>
      </c>
      <c r="B15" t="s">
        <v>17</v>
      </c>
      <c r="C15" s="4" t="s">
        <v>23</v>
      </c>
      <c r="D15" s="51">
        <v>0.5</v>
      </c>
    </row>
    <row r="16" spans="1:4" x14ac:dyDescent="0.25">
      <c r="A16" t="str">
        <f t="shared" si="0"/>
        <v>Agressivo-TIJOLO</v>
      </c>
      <c r="B16" t="s">
        <v>17</v>
      </c>
      <c r="C16" s="4" t="s">
        <v>24</v>
      </c>
      <c r="D16" s="51">
        <v>0.1</v>
      </c>
    </row>
    <row r="17" spans="1:4" x14ac:dyDescent="0.25">
      <c r="A17" t="str">
        <f t="shared" si="0"/>
        <v>Agressivo-HÍBRIDOS</v>
      </c>
      <c r="B17" t="s">
        <v>17</v>
      </c>
      <c r="C17" s="4" t="s">
        <v>25</v>
      </c>
      <c r="D17" s="51">
        <v>0.05</v>
      </c>
    </row>
    <row r="18" spans="1:4" x14ac:dyDescent="0.25">
      <c r="A18" t="str">
        <f t="shared" si="0"/>
        <v>Agressivo-FOF's</v>
      </c>
      <c r="B18" t="s">
        <v>17</v>
      </c>
      <c r="C18" s="4" t="s">
        <v>26</v>
      </c>
      <c r="D18" s="51">
        <v>0.05</v>
      </c>
    </row>
    <row r="19" spans="1:4" x14ac:dyDescent="0.25">
      <c r="A19" t="str">
        <f t="shared" si="0"/>
        <v>Agressivo-DESENVOLVIMENTO</v>
      </c>
      <c r="B19" t="s">
        <v>17</v>
      </c>
      <c r="C19" s="4" t="s">
        <v>27</v>
      </c>
      <c r="D19" s="51">
        <v>0.2</v>
      </c>
    </row>
    <row r="20" spans="1:4" x14ac:dyDescent="0.25">
      <c r="A20" t="str">
        <f t="shared" si="0"/>
        <v>Agressivo-HOTELARIAS</v>
      </c>
      <c r="B20" t="s">
        <v>17</v>
      </c>
      <c r="C20" s="4" t="s">
        <v>28</v>
      </c>
      <c r="D20" s="5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2026-02-03T01:07:59Z</dcterms:created>
  <dcterms:modified xsi:type="dcterms:W3CDTF">2026-02-09T23:22:22Z</dcterms:modified>
</cp:coreProperties>
</file>